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et Management Dept\SAO\"/>
    </mc:Choice>
  </mc:AlternateContent>
  <xr:revisionPtr revIDLastSave="0" documentId="8_{D79C5079-C879-4F38-9067-8671EBBB403B}" xr6:coauthVersionLast="36" xr6:coauthVersionMax="36" xr10:uidLastSave="{00000000-0000-0000-0000-000000000000}"/>
  <bookViews>
    <workbookView xWindow="0" yWindow="0" windowWidth="20490" windowHeight="7545" xr2:uid="{7F07A02A-A042-46B7-A619-825C86BD15EC}"/>
  </bookViews>
  <sheets>
    <sheet name="Sheet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" i="1" l="1"/>
  <c r="AF6" i="1"/>
  <c r="AF7" i="1"/>
  <c r="AF8" i="1"/>
  <c r="AF9" i="1"/>
  <c r="AF10" i="1"/>
  <c r="A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Asset &amp; Data Control</author>
  </authors>
  <commentList>
    <comment ref="L2" authorId="0" shapeId="0" xr:uid="{635703C6-3C38-4AD7-94E6-9122C5EAF689}">
      <text>
        <r>
          <rPr>
            <b/>
            <sz val="9"/>
            <color indexed="81"/>
            <rFont val="Tahoma"/>
            <family val="2"/>
          </rPr>
          <t>Asset &amp; Data Control:</t>
        </r>
        <r>
          <rPr>
            <sz val="9"/>
            <color indexed="81"/>
            <rFont val="Tahoma"/>
            <family val="2"/>
          </rPr>
          <t xml:space="preserve">
Tidak bisa ada penerimaan jika tidak ada PO</t>
        </r>
      </text>
    </comment>
    <comment ref="D3" authorId="0" shapeId="0" xr:uid="{5AA2C052-A461-4D43-B117-7BA4EC74096C}">
      <text>
        <r>
          <rPr>
            <b/>
            <sz val="9"/>
            <color indexed="81"/>
            <rFont val="Tahoma"/>
            <family val="2"/>
          </rPr>
          <t>Asset &amp; Data Control:</t>
        </r>
        <r>
          <rPr>
            <sz val="9"/>
            <color indexed="81"/>
            <rFont val="Tahoma"/>
            <family val="2"/>
          </rPr>
          <t xml:space="preserve">
SAO sudah menjaga, tidak ada penerimaan barang tanpa PO</t>
        </r>
      </text>
    </comment>
  </commentList>
</comments>
</file>

<file path=xl/sharedStrings.xml><?xml version="1.0" encoding="utf-8"?>
<sst xmlns="http://schemas.openxmlformats.org/spreadsheetml/2006/main" count="108" uniqueCount="71">
  <si>
    <t>Hari Ini :</t>
  </si>
  <si>
    <t>FILTER BERDASARKAN BULAN</t>
  </si>
  <si>
    <t>PR ID</t>
  </si>
  <si>
    <t>PART NUMBER</t>
  </si>
  <si>
    <t>PART NAME</t>
  </si>
  <si>
    <t>UNIT CODE</t>
  </si>
  <si>
    <t>TANGGAL PR</t>
  </si>
  <si>
    <t>STATUS PR</t>
  </si>
  <si>
    <t>PR Progress</t>
  </si>
  <si>
    <t>TANGGAL PO</t>
  </si>
  <si>
    <t>Lead TIme PR -&gt; PO</t>
  </si>
  <si>
    <t>PO Progress</t>
  </si>
  <si>
    <t>Tanggal Penerimaan HO</t>
  </si>
  <si>
    <t>Status (Not Ok apabila tidak ada PO)</t>
  </si>
  <si>
    <t>Lead Time PO -&gt; Penerimaan</t>
  </si>
  <si>
    <t>Tanggal Surat Jalan</t>
  </si>
  <si>
    <t>No SJ</t>
  </si>
  <si>
    <t>Lead Time Penerimaan HO -&gt; SJ</t>
  </si>
  <si>
    <t>Tanggal Penerimaan Site</t>
  </si>
  <si>
    <t>SJ belum ada penerimaan Site</t>
  </si>
  <si>
    <t>Lead Time SJ-&gt;Penerimaan Site</t>
  </si>
  <si>
    <t>Lead Time PR-&gt;SJ</t>
  </si>
  <si>
    <t>Lead Time PR -&gt; Penerimaan Site</t>
  </si>
  <si>
    <t>Tanggal Pemasangan Part Backlog</t>
  </si>
  <si>
    <t>Durasi sejak tanggal penerimaan</t>
  </si>
  <si>
    <t>Lead Time PR Backlog-&gt; Pemasangan</t>
  </si>
  <si>
    <t>Quantity Terpasang</t>
  </si>
  <si>
    <t>Quantity Var (PO - Pemasangan)</t>
  </si>
  <si>
    <t>Site</t>
  </si>
  <si>
    <t>Part Backlog Check</t>
  </si>
  <si>
    <t>PR lebih dari 30 Hari</t>
  </si>
  <si>
    <t>(month)</t>
  </si>
  <si>
    <t>Kuning = Part Backlog</t>
  </si>
  <si>
    <t>Merah = Penerimaan Barang Tanpa PO</t>
  </si>
  <si>
    <t>Comment</t>
  </si>
  <si>
    <t>(hari)</t>
  </si>
  <si>
    <t>(5 hari ++)</t>
  </si>
  <si>
    <t>Desember</t>
  </si>
  <si>
    <t>PRHOTRNMT210009</t>
  </si>
  <si>
    <t>14X-32-11210</t>
  </si>
  <si>
    <t>BOLT SHOE</t>
  </si>
  <si>
    <t>D-85-4</t>
  </si>
  <si>
    <t>On Progress</t>
  </si>
  <si>
    <t>RJS/2021/0728</t>
  </si>
  <si>
    <t>PT. TRINUSA DHARMA UTAMA</t>
  </si>
  <si>
    <t>14X-32-11370</t>
  </si>
  <si>
    <t>SHOE TRACK</t>
  </si>
  <si>
    <t>PRHOHOLOG210130</t>
  </si>
  <si>
    <t>LK-02</t>
  </si>
  <si>
    <t>LAMPU KERJA 16 LED</t>
  </si>
  <si>
    <t>D-85-8/D-09</t>
  </si>
  <si>
    <t>RJS/2021/0717</t>
  </si>
  <si>
    <t>HEAD OFFICE</t>
  </si>
  <si>
    <t>PRHOPRDMT210111</t>
  </si>
  <si>
    <t>MC 424444</t>
  </si>
  <si>
    <t>HOSE RADIATOR</t>
  </si>
  <si>
    <t>MAINTENANCE</t>
  </si>
  <si>
    <t>Belum ada PO</t>
  </si>
  <si>
    <t>Not OK</t>
  </si>
  <si>
    <t>GP/2021/0249</t>
  </si>
  <si>
    <t>PORANDA-JARUNGKE</t>
  </si>
  <si>
    <t>ME072838-24VOLT</t>
  </si>
  <si>
    <t>ALTERNATOR</t>
  </si>
  <si>
    <t>PRHOTGFLOG210467</t>
  </si>
  <si>
    <t>ALT-D85/SERVICE</t>
  </si>
  <si>
    <t>ALTERNATOR (SERVICE)</t>
  </si>
  <si>
    <t>STOCK</t>
  </si>
  <si>
    <t>RJS/2021/0710</t>
  </si>
  <si>
    <t>RJS HM-TANGOFA</t>
  </si>
  <si>
    <t>ALT-GNST/SERVICE</t>
  </si>
  <si>
    <t>ALTERNATOR ASSY 65 A (SERVICE)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</si>
</sst>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i/>
      <sz val="9"/>
      <color theme="1"/>
      <name val="Calibri"/>
      <family val="2"/>
    </font>
    <font>
      <b/>
      <i/>
      <sz val="9"/>
      <color rgb="FFFFFFFF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i/>
      <sz val="11"/>
      <color rgb="FFE69138"/>
      <name val="Calibri"/>
      <family val="2"/>
    </font>
    <font>
      <i/>
      <sz val="11"/>
      <color rgb="FFB6D7A8"/>
      <name val="Calibri"/>
      <family val="2"/>
    </font>
    <font>
      <b/>
      <sz val="11"/>
      <color rgb="FF10E110"/>
      <name val="Calibri"/>
      <family val="2"/>
    </font>
    <font>
      <b/>
      <i/>
      <sz val="11"/>
      <color rgb="FFFF0000"/>
      <name val="Calibri"/>
      <family val="2"/>
    </font>
    <font>
      <i/>
      <sz val="10"/>
      <color theme="1"/>
      <name val="Calibri"/>
      <family val="2"/>
    </font>
    <font>
      <i/>
      <sz val="11"/>
      <color rgb="FFFFFFFF"/>
      <name val="Calibri"/>
      <family val="2"/>
    </font>
    <font>
      <b/>
      <i/>
      <sz val="11"/>
      <color rgb="FF8E7CC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Calibri"/>
      <family val="2"/>
      <charset val="1"/>
    </font>
    <font>
      <sz val="10"/>
      <color theme="0"/>
      <name val="Arial"/>
      <family val="2"/>
      <charset val="1"/>
    </font>
    <font>
      <sz val="11"/>
      <color theme="0"/>
      <name val="Calibri"/>
      <family val="2"/>
      <charset val="1"/>
    </font>
    <font>
      <i/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BC0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5" fontId="7" fillId="4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8C8B-9E6F-424A-9190-9C53C8BC05FB}">
  <dimension ref="A1:AG10"/>
  <sheetViews>
    <sheetView tabSelected="1" workbookViewId="0">
      <selection activeCell="H14" sqref="H14"/>
    </sheetView>
  </sheetViews>
  <sheetFormatPr defaultRowHeight="15" x14ac:dyDescent="0.25"/>
  <cols>
    <col min="1" max="1" width="12.7109375" customWidth="1"/>
    <col min="2" max="2" width="19.140625" bestFit="1" customWidth="1"/>
    <col min="3" max="3" width="20.28515625" customWidth="1"/>
    <col min="4" max="4" width="32.7109375" customWidth="1"/>
    <col min="5" max="5" width="16.140625" customWidth="1"/>
    <col min="6" max="6" width="9.7109375" bestFit="1" customWidth="1"/>
    <col min="7" max="7" width="12.140625" bestFit="1" customWidth="1"/>
    <col min="8" max="8" width="8.42578125" bestFit="1" customWidth="1"/>
    <col min="9" max="9" width="14.140625" bestFit="1" customWidth="1"/>
    <col min="10" max="10" width="9" bestFit="1" customWidth="1"/>
    <col min="11" max="11" width="7.7109375" bestFit="1" customWidth="1"/>
    <col min="12" max="12" width="11.42578125" customWidth="1"/>
    <col min="13" max="13" width="13.140625" hidden="1" customWidth="1"/>
    <col min="14" max="14" width="11.7109375" customWidth="1"/>
    <col min="15" max="15" width="11.85546875" customWidth="1"/>
    <col min="16" max="16" width="13.7109375" bestFit="1" customWidth="1"/>
    <col min="17" max="17" width="12.42578125" customWidth="1"/>
    <col min="18" max="18" width="12.7109375" customWidth="1"/>
    <col min="19" max="19" width="12.28515625" customWidth="1"/>
    <col min="20" max="20" width="11.85546875" customWidth="1"/>
    <col min="21" max="21" width="9" bestFit="1" customWidth="1"/>
    <col min="22" max="22" width="11.28515625" customWidth="1"/>
    <col min="23" max="23" width="11.42578125" customWidth="1"/>
    <col min="24" max="24" width="11.7109375" customWidth="1"/>
    <col min="25" max="25" width="11.5703125" customWidth="1"/>
    <col min="26" max="26" width="9.5703125" customWidth="1"/>
    <col min="27" max="27" width="11.5703125" customWidth="1"/>
    <col min="28" max="28" width="28.42578125" bestFit="1" customWidth="1"/>
    <col min="29" max="31" width="0" hidden="1" customWidth="1"/>
    <col min="32" max="32" width="14.7109375" customWidth="1"/>
    <col min="33" max="33" width="10.42578125" customWidth="1"/>
  </cols>
  <sheetData>
    <row r="1" spans="1:33" ht="15.75" thickBot="1" x14ac:dyDescent="0.3">
      <c r="A1" s="3"/>
      <c r="B1" s="3"/>
      <c r="C1" s="3"/>
      <c r="D1" s="3"/>
      <c r="E1" s="3"/>
      <c r="F1" s="3"/>
      <c r="G1" s="4" t="s">
        <v>0</v>
      </c>
      <c r="H1" s="5">
        <v>44629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s="22" customFormat="1" ht="64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3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1"/>
      <c r="AD2" s="1"/>
      <c r="AE2" s="1"/>
      <c r="AF2" s="2" t="s">
        <v>29</v>
      </c>
      <c r="AG2" s="2" t="s">
        <v>30</v>
      </c>
    </row>
    <row r="3" spans="1:33" ht="15.75" thickBot="1" x14ac:dyDescent="0.3">
      <c r="A3" s="6" t="s">
        <v>31</v>
      </c>
      <c r="B3" s="3"/>
      <c r="C3" s="7" t="s">
        <v>32</v>
      </c>
      <c r="D3" s="8" t="s">
        <v>33</v>
      </c>
      <c r="E3" s="3"/>
      <c r="F3" s="9" t="s">
        <v>34</v>
      </c>
      <c r="G3" s="3"/>
      <c r="H3" s="10" t="s">
        <v>35</v>
      </c>
      <c r="I3" s="3"/>
      <c r="J3" s="10" t="s">
        <v>35</v>
      </c>
      <c r="K3" s="10" t="s">
        <v>35</v>
      </c>
      <c r="L3" s="3"/>
      <c r="M3" s="24"/>
      <c r="N3" s="10" t="s">
        <v>35</v>
      </c>
      <c r="O3" s="3"/>
      <c r="P3" s="3"/>
      <c r="Q3" s="10" t="s">
        <v>35</v>
      </c>
      <c r="R3" s="3"/>
      <c r="S3" s="10" t="s">
        <v>36</v>
      </c>
      <c r="T3" s="10" t="s">
        <v>35</v>
      </c>
      <c r="U3" s="10" t="s">
        <v>35</v>
      </c>
      <c r="V3" s="10" t="s">
        <v>35</v>
      </c>
      <c r="W3" s="3"/>
      <c r="X3" s="10" t="s">
        <v>35</v>
      </c>
      <c r="Y3" s="10" t="s">
        <v>35</v>
      </c>
      <c r="Z3" s="3"/>
      <c r="AA3" s="3"/>
      <c r="AB3" s="3"/>
      <c r="AC3" s="3"/>
      <c r="AD3" s="3"/>
      <c r="AE3" s="3"/>
      <c r="AF3" s="3"/>
      <c r="AG3" s="3"/>
    </row>
    <row r="4" spans="1:33" ht="15.75" thickBot="1" x14ac:dyDescent="0.3">
      <c r="A4" s="11" t="s">
        <v>37</v>
      </c>
      <c r="B4" s="11" t="s">
        <v>38</v>
      </c>
      <c r="C4" s="12" t="s">
        <v>39</v>
      </c>
      <c r="D4" s="11" t="s">
        <v>40</v>
      </c>
      <c r="E4" s="11" t="s">
        <v>41</v>
      </c>
      <c r="F4" s="13">
        <v>44560</v>
      </c>
      <c r="G4" s="14" t="s">
        <v>42</v>
      </c>
      <c r="H4" s="11"/>
      <c r="I4" s="13">
        <v>44560</v>
      </c>
      <c r="J4" s="15">
        <v>0</v>
      </c>
      <c r="K4" s="11"/>
      <c r="L4" s="13">
        <v>44560</v>
      </c>
      <c r="M4" s="25"/>
      <c r="N4" s="15">
        <v>0</v>
      </c>
      <c r="O4" s="13">
        <v>44561</v>
      </c>
      <c r="P4" s="3" t="s">
        <v>43</v>
      </c>
      <c r="Q4" s="16">
        <v>1</v>
      </c>
      <c r="R4" s="11"/>
      <c r="S4" s="17">
        <v>68</v>
      </c>
      <c r="T4" s="11"/>
      <c r="U4" s="11">
        <v>1</v>
      </c>
      <c r="V4" s="11"/>
      <c r="W4" s="11"/>
      <c r="X4" s="3"/>
      <c r="Y4" s="11"/>
      <c r="Z4" s="3"/>
      <c r="AA4" s="3"/>
      <c r="AB4" s="3" t="s">
        <v>44</v>
      </c>
      <c r="AC4" s="3"/>
      <c r="AD4" s="3"/>
      <c r="AE4" s="3"/>
      <c r="AF4" s="18" t="str">
        <f>IF(E4&lt;&gt;"",IF(E4="STOCK","NON BACKLOG",IF(E4="MAINTENANCE","NON BACKLOG",IF(E4="ALL UNIT","NON BACKLOG",IF(E4="INVENTARIS","NON BACKLOG",IF(E4="SURVEY","NON BACKLOG",IF(E4="CRUSHER MORAMO","NON BACKLOG",IF(E4="OFFICE","NON BACKLOG",IF(E4="SAFETY","NON BACKLOG","BACKLOG")))))))),"")</f>
        <v>BACKLOG</v>
      </c>
      <c r="AG4" s="11"/>
    </row>
    <row r="5" spans="1:33" ht="15.75" thickBot="1" x14ac:dyDescent="0.3">
      <c r="A5" s="11" t="s">
        <v>37</v>
      </c>
      <c r="B5" s="11" t="s">
        <v>38</v>
      </c>
      <c r="C5" s="12" t="s">
        <v>45</v>
      </c>
      <c r="D5" s="11" t="s">
        <v>46</v>
      </c>
      <c r="E5" s="11" t="s">
        <v>41</v>
      </c>
      <c r="F5" s="13">
        <v>44560</v>
      </c>
      <c r="G5" s="14" t="s">
        <v>42</v>
      </c>
      <c r="H5" s="11"/>
      <c r="I5" s="13">
        <v>44560</v>
      </c>
      <c r="J5" s="15">
        <v>0</v>
      </c>
      <c r="K5" s="11"/>
      <c r="L5" s="13">
        <v>44560</v>
      </c>
      <c r="M5" s="25"/>
      <c r="N5" s="15">
        <v>0</v>
      </c>
      <c r="O5" s="13">
        <v>44561</v>
      </c>
      <c r="P5" s="3" t="s">
        <v>43</v>
      </c>
      <c r="Q5" s="16">
        <v>1</v>
      </c>
      <c r="R5" s="11"/>
      <c r="S5" s="17">
        <v>68</v>
      </c>
      <c r="T5" s="11"/>
      <c r="U5" s="11">
        <v>1</v>
      </c>
      <c r="V5" s="11"/>
      <c r="W5" s="11"/>
      <c r="X5" s="3"/>
      <c r="Y5" s="11"/>
      <c r="Z5" s="3"/>
      <c r="AA5" s="3"/>
      <c r="AB5" s="3" t="s">
        <v>44</v>
      </c>
      <c r="AC5" s="3"/>
      <c r="AD5" s="3"/>
      <c r="AE5" s="3"/>
      <c r="AF5" s="18" t="str">
        <f t="shared" ref="AF5:AF10" si="0">IF(E5&lt;&gt;"",IF(E5="STOCK","NON BACKLOG",IF(E5="MAINTENANCE","NON BACKLOG",IF(E5="ALL UNIT","NON BACKLOG",IF(E5="INVENTARIS","NON BACKLOG",IF(E5="SURVEY","NON BACKLOG",IF(E5="CRUSHER MORAMO","NON BACKLOG",IF(E5="OFFICE","NON BACKLOG",IF(E5="SAFETY","NON BACKLOG","BACKLOG")))))))),"")</f>
        <v>BACKLOG</v>
      </c>
      <c r="AG5" s="11"/>
    </row>
    <row r="6" spans="1:33" ht="15.75" thickBot="1" x14ac:dyDescent="0.3">
      <c r="A6" s="11" t="s">
        <v>37</v>
      </c>
      <c r="B6" s="11" t="s">
        <v>47</v>
      </c>
      <c r="C6" s="12" t="s">
        <v>48</v>
      </c>
      <c r="D6" s="11" t="s">
        <v>49</v>
      </c>
      <c r="E6" s="11" t="s">
        <v>50</v>
      </c>
      <c r="F6" s="13">
        <v>44559</v>
      </c>
      <c r="G6" s="14" t="s">
        <v>42</v>
      </c>
      <c r="H6" s="11"/>
      <c r="I6" s="13">
        <v>44559</v>
      </c>
      <c r="J6" s="15">
        <v>0</v>
      </c>
      <c r="K6" s="11"/>
      <c r="L6" s="13">
        <v>44559</v>
      </c>
      <c r="M6" s="25"/>
      <c r="N6" s="15">
        <v>0</v>
      </c>
      <c r="O6" s="13">
        <v>44559</v>
      </c>
      <c r="P6" s="3" t="s">
        <v>51</v>
      </c>
      <c r="Q6" s="16">
        <v>0</v>
      </c>
      <c r="R6" s="11"/>
      <c r="S6" s="17">
        <v>70</v>
      </c>
      <c r="T6" s="11"/>
      <c r="U6" s="11">
        <v>0</v>
      </c>
      <c r="V6" s="11"/>
      <c r="W6" s="11"/>
      <c r="X6" s="3"/>
      <c r="Y6" s="11"/>
      <c r="Z6" s="3"/>
      <c r="AA6" s="3"/>
      <c r="AB6" s="3" t="s">
        <v>52</v>
      </c>
      <c r="AC6" s="3"/>
      <c r="AD6" s="3"/>
      <c r="AE6" s="3"/>
      <c r="AF6" s="18" t="str">
        <f t="shared" si="0"/>
        <v>BACKLOG</v>
      </c>
      <c r="AG6" s="11"/>
    </row>
    <row r="7" spans="1:33" ht="15.75" thickBot="1" x14ac:dyDescent="0.3">
      <c r="A7" s="11" t="s">
        <v>37</v>
      </c>
      <c r="B7" s="11" t="s">
        <v>53</v>
      </c>
      <c r="C7" s="11" t="s">
        <v>54</v>
      </c>
      <c r="D7" s="19" t="s">
        <v>55</v>
      </c>
      <c r="E7" s="11" t="s">
        <v>56</v>
      </c>
      <c r="F7" s="20">
        <v>44558</v>
      </c>
      <c r="G7" s="14" t="s">
        <v>42</v>
      </c>
      <c r="H7" s="11">
        <v>71</v>
      </c>
      <c r="I7" s="21" t="s">
        <v>57</v>
      </c>
      <c r="J7" s="11"/>
      <c r="K7" s="11"/>
      <c r="L7" s="13">
        <v>44558</v>
      </c>
      <c r="M7" s="26" t="s">
        <v>58</v>
      </c>
      <c r="N7" s="11"/>
      <c r="O7" s="13">
        <v>44559</v>
      </c>
      <c r="P7" s="3" t="s">
        <v>59</v>
      </c>
      <c r="Q7" s="16">
        <v>1</v>
      </c>
      <c r="R7" s="11"/>
      <c r="S7" s="17">
        <v>70</v>
      </c>
      <c r="T7" s="11"/>
      <c r="U7" s="11">
        <v>1</v>
      </c>
      <c r="V7" s="11"/>
      <c r="W7" s="11"/>
      <c r="X7" s="3"/>
      <c r="Y7" s="11"/>
      <c r="Z7" s="3"/>
      <c r="AA7" s="3"/>
      <c r="AB7" s="3" t="s">
        <v>60</v>
      </c>
      <c r="AC7" s="3"/>
      <c r="AD7" s="3"/>
      <c r="AE7" s="3"/>
      <c r="AF7" s="18" t="str">
        <f t="shared" si="0"/>
        <v>NON BACKLOG</v>
      </c>
      <c r="AG7" s="11" t="s">
        <v>58</v>
      </c>
    </row>
    <row r="8" spans="1:33" ht="15.75" thickBot="1" x14ac:dyDescent="0.3">
      <c r="A8" s="11" t="s">
        <v>37</v>
      </c>
      <c r="B8" s="11" t="s">
        <v>53</v>
      </c>
      <c r="C8" s="11" t="s">
        <v>61</v>
      </c>
      <c r="D8" s="19" t="s">
        <v>62</v>
      </c>
      <c r="E8" s="11" t="s">
        <v>56</v>
      </c>
      <c r="F8" s="20">
        <v>44558</v>
      </c>
      <c r="G8" s="14" t="s">
        <v>42</v>
      </c>
      <c r="H8" s="11">
        <v>71</v>
      </c>
      <c r="I8" s="21" t="s">
        <v>57</v>
      </c>
      <c r="J8" s="11"/>
      <c r="K8" s="11"/>
      <c r="L8" s="13">
        <v>44558</v>
      </c>
      <c r="M8" s="26" t="s">
        <v>58</v>
      </c>
      <c r="N8" s="11"/>
      <c r="O8" s="13">
        <v>44559</v>
      </c>
      <c r="P8" s="3" t="s">
        <v>59</v>
      </c>
      <c r="Q8" s="16">
        <v>1</v>
      </c>
      <c r="R8" s="11"/>
      <c r="S8" s="17">
        <v>70</v>
      </c>
      <c r="T8" s="11"/>
      <c r="U8" s="11">
        <v>1</v>
      </c>
      <c r="V8" s="11"/>
      <c r="W8" s="11"/>
      <c r="X8" s="3"/>
      <c r="Y8" s="11"/>
      <c r="Z8" s="3"/>
      <c r="AA8" s="3"/>
      <c r="AB8" s="3" t="s">
        <v>60</v>
      </c>
      <c r="AC8" s="3"/>
      <c r="AD8" s="3"/>
      <c r="AE8" s="3"/>
      <c r="AF8" s="18" t="str">
        <f t="shared" si="0"/>
        <v>NON BACKLOG</v>
      </c>
      <c r="AG8" s="11" t="s">
        <v>58</v>
      </c>
    </row>
    <row r="9" spans="1:33" ht="15.75" thickBot="1" x14ac:dyDescent="0.3">
      <c r="A9" s="11" t="s">
        <v>37</v>
      </c>
      <c r="B9" s="11" t="s">
        <v>63</v>
      </c>
      <c r="C9" s="11" t="s">
        <v>64</v>
      </c>
      <c r="D9" s="11" t="s">
        <v>65</v>
      </c>
      <c r="E9" s="11" t="s">
        <v>66</v>
      </c>
      <c r="F9" s="13">
        <v>44557</v>
      </c>
      <c r="G9" s="14" t="s">
        <v>42</v>
      </c>
      <c r="H9" s="11"/>
      <c r="I9" s="13">
        <v>44557</v>
      </c>
      <c r="J9" s="15">
        <v>0</v>
      </c>
      <c r="K9" s="11"/>
      <c r="L9" s="13">
        <v>44558</v>
      </c>
      <c r="M9" s="25"/>
      <c r="N9" s="11">
        <v>1</v>
      </c>
      <c r="O9" s="13">
        <v>44558</v>
      </c>
      <c r="P9" s="3" t="s">
        <v>67</v>
      </c>
      <c r="Q9" s="16">
        <v>0</v>
      </c>
      <c r="R9" s="11"/>
      <c r="S9" s="17">
        <v>71</v>
      </c>
      <c r="T9" s="11"/>
      <c r="U9" s="11">
        <v>1</v>
      </c>
      <c r="V9" s="11"/>
      <c r="W9" s="11"/>
      <c r="X9" s="3"/>
      <c r="Y9" s="11"/>
      <c r="Z9" s="3"/>
      <c r="AA9" s="3"/>
      <c r="AB9" s="3" t="s">
        <v>68</v>
      </c>
      <c r="AC9" s="3"/>
      <c r="AD9" s="3"/>
      <c r="AE9" s="3"/>
      <c r="AF9" s="18" t="str">
        <f t="shared" si="0"/>
        <v>NON BACKLOG</v>
      </c>
      <c r="AG9" s="11"/>
    </row>
    <row r="10" spans="1:33" ht="15.75" thickBot="1" x14ac:dyDescent="0.3">
      <c r="A10" s="11" t="s">
        <v>37</v>
      </c>
      <c r="B10" s="11" t="s">
        <v>63</v>
      </c>
      <c r="C10" s="11" t="s">
        <v>69</v>
      </c>
      <c r="D10" s="11" t="s">
        <v>70</v>
      </c>
      <c r="E10" s="11" t="s">
        <v>56</v>
      </c>
      <c r="F10" s="13">
        <v>44557</v>
      </c>
      <c r="G10" s="14" t="s">
        <v>42</v>
      </c>
      <c r="H10" s="11"/>
      <c r="I10" s="13">
        <v>44557</v>
      </c>
      <c r="J10" s="15">
        <v>0</v>
      </c>
      <c r="K10" s="11"/>
      <c r="L10" s="13">
        <v>44558</v>
      </c>
      <c r="M10" s="25"/>
      <c r="N10" s="11">
        <v>1</v>
      </c>
      <c r="O10" s="13">
        <v>44558</v>
      </c>
      <c r="P10" s="3" t="s">
        <v>67</v>
      </c>
      <c r="Q10" s="16">
        <v>0</v>
      </c>
      <c r="R10" s="11"/>
      <c r="S10" s="17">
        <v>71</v>
      </c>
      <c r="T10" s="11"/>
      <c r="U10" s="11">
        <v>1</v>
      </c>
      <c r="V10" s="11"/>
      <c r="W10" s="11"/>
      <c r="X10" s="3"/>
      <c r="Y10" s="11"/>
      <c r="Z10" s="3"/>
      <c r="AA10" s="3"/>
      <c r="AB10" s="3" t="s">
        <v>68</v>
      </c>
      <c r="AC10" s="3"/>
      <c r="AD10" s="3"/>
      <c r="AE10" s="3"/>
      <c r="AF10" s="18" t="str">
        <f t="shared" si="0"/>
        <v>NON BACKLOG</v>
      </c>
      <c r="AG10" s="1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&amp; Data Control</dc:creator>
  <cp:lastModifiedBy>Asset &amp; Data Control</cp:lastModifiedBy>
  <dcterms:created xsi:type="dcterms:W3CDTF">2022-03-09T00:45:16Z</dcterms:created>
  <dcterms:modified xsi:type="dcterms:W3CDTF">2022-03-09T00:56:40Z</dcterms:modified>
</cp:coreProperties>
</file>